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<sst xmlns="http://schemas.openxmlformats.org/spreadsheetml/2006/main" count="60" uniqueCount="34">
  <si>
    <t>SUMMARY OF DAILY FUEL PUMP DISPENSED</t>
  </si>
  <si>
    <t>Page 1 of  3</t>
  </si>
  <si>
    <t>Seq. No.</t>
  </si>
  <si>
    <t>CONTROL No.</t>
  </si>
  <si>
    <t>DATE</t>
  </si>
  <si>
    <t xml:space="preserve">PLATE Number </t>
  </si>
  <si>
    <t>TYPE OF VEHICLE</t>
  </si>
  <si>
    <t>DRIVER</t>
  </si>
  <si>
    <t>OFFICE</t>
  </si>
  <si>
    <t>PURPOSE</t>
  </si>
  <si>
    <t>PRODUCT TYPE</t>
  </si>
  <si>
    <t>FUEL PRICE</t>
  </si>
  <si>
    <t>QUANTITY (LITERS)</t>
  </si>
  <si>
    <t>GROSS</t>
  </si>
  <si>
    <t>AMOUNT</t>
  </si>
  <si>
    <t>SUB -TOTAL  FUEL PUMP DISPENSED</t>
  </si>
  <si>
    <t>Page 2 of  3</t>
  </si>
  <si>
    <t>SUB -TOTAL  CARRIED FORWARD</t>
  </si>
  <si>
    <t>Page 3 of  3</t>
  </si>
  <si>
    <t>GRAND TOTAL  FUEL PUMP DISPENSED</t>
  </si>
  <si>
    <t>Prepared by:</t>
  </si>
  <si>
    <t>Verified &amp; Checked  by:</t>
  </si>
  <si>
    <t>SUMMARY</t>
  </si>
  <si>
    <t>PRODUCT</t>
  </si>
  <si>
    <t>TOTAL LITERS</t>
  </si>
  <si>
    <t>In cm</t>
  </si>
  <si>
    <t>TOTAL AMOUNT</t>
  </si>
  <si>
    <t>Diesel</t>
  </si>
  <si>
    <t>JULIETA B. MANLAWE</t>
  </si>
  <si>
    <t>JOEFELYN U. TUMULAK</t>
  </si>
  <si>
    <t>Premium</t>
  </si>
  <si>
    <t xml:space="preserve">OCM Gasoline Officer  Incharge </t>
  </si>
  <si>
    <t>Property Inspector</t>
  </si>
  <si>
    <t>Regular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</si>
</sst>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_(* #,##0.000_);_(* \(#,##0.000\);_(* &quot;-&quot;??_);_(@_)"/>
  </numFmts>
  <fonts count="18">
    <font>
      <sz val="10.0"/>
      <color rgb="FF000000"/>
      <name val="Arial"/>
      <scheme val="minor"/>
    </font>
    <font>
      <sz val="18.0"/>
      <color theme="1"/>
      <name val="&quot;Arial Black&quot;"/>
    </font>
    <font>
      <sz val="11.0"/>
      <color theme="1"/>
      <name val="Calibri"/>
    </font>
    <font>
      <i/>
      <sz val="12.0"/>
      <color rgb="FF002060"/>
      <name val="&quot;Arial Black&quot;"/>
    </font>
    <font/>
    <font>
      <b/>
      <color theme="1"/>
      <name val="Calibri"/>
    </font>
    <font>
      <b/>
      <sz val="11.0"/>
      <color theme="1"/>
      <name val="Calibri"/>
    </font>
    <font>
      <b/>
      <sz val="12.0"/>
      <color theme="1"/>
      <name val="Calibri"/>
    </font>
    <font>
      <b/>
      <sz val="14.0"/>
      <color theme="1"/>
      <name val="Calibri"/>
    </font>
    <font>
      <color theme="1"/>
      <name val="Calibri"/>
    </font>
    <font>
      <sz val="9.0"/>
      <color theme="1"/>
      <name val="Calibri"/>
    </font>
    <font>
      <sz val="12.0"/>
      <color theme="1"/>
      <name val="Calibri"/>
    </font>
    <font>
      <b/>
      <sz val="16.0"/>
      <color theme="1"/>
      <name val="Calibri"/>
    </font>
    <font>
      <b/>
      <sz val="17.0"/>
      <color theme="1"/>
      <name val="Calibri"/>
    </font>
    <font>
      <sz val="12.0"/>
      <color theme="1"/>
      <name val="&quot;Times New Roman&quot;"/>
    </font>
    <font>
      <b/>
      <sz val="8.0"/>
      <color theme="1"/>
      <name val="Calibri"/>
    </font>
    <font>
      <i/>
      <sz val="11.0"/>
      <color rgb="FF002060"/>
      <name val="Calibri"/>
    </font>
    <font>
      <i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6">
    <border/>
    <border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right style="double">
        <color rgb="FF000000"/>
      </righ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double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bottom style="dotted">
        <color rgb="FF000000"/>
      </bottom>
    </border>
    <border>
      <left style="medium">
        <color rgb="FF000000"/>
      </left>
      <bottom style="medium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vertical="bottom"/>
    </xf>
    <xf borderId="1" fillId="0" fontId="2" numFmtId="0" xfId="0" applyBorder="1" applyFont="1"/>
    <xf borderId="1" fillId="0" fontId="3" numFmtId="0" xfId="0" applyAlignment="1" applyBorder="1" applyFont="1">
      <alignment horizontal="center"/>
    </xf>
    <xf borderId="1" fillId="0" fontId="4" numFmtId="0" xfId="0" applyBorder="1" applyFont="1"/>
    <xf borderId="2" fillId="0" fontId="5" numFmtId="0" xfId="0" applyAlignment="1" applyBorder="1" applyFont="1">
      <alignment horizontal="center" shrinkToFit="0" wrapText="1"/>
    </xf>
    <xf borderId="3" fillId="0" fontId="6" numFmtId="0" xfId="0" applyAlignment="1" applyBorder="1" applyFont="1">
      <alignment horizontal="center" shrinkToFit="0" wrapText="1"/>
    </xf>
    <xf borderId="4" fillId="0" fontId="7" numFmtId="0" xfId="0" applyAlignment="1" applyBorder="1" applyFont="1">
      <alignment horizontal="center"/>
    </xf>
    <xf borderId="3" fillId="0" fontId="7" numFmtId="0" xfId="0" applyAlignment="1" applyBorder="1" applyFont="1">
      <alignment horizontal="center" shrinkToFit="0" wrapText="1"/>
    </xf>
    <xf borderId="3" fillId="0" fontId="8" numFmtId="0" xfId="0" applyAlignment="1" applyBorder="1" applyFont="1">
      <alignment horizontal="center" shrinkToFit="0" wrapText="1"/>
    </xf>
    <xf borderId="4" fillId="0" fontId="5" numFmtId="164" xfId="0" applyAlignment="1" applyBorder="1" applyFont="1" applyNumberFormat="1">
      <alignment horizontal="center" shrinkToFit="0" wrapText="1"/>
    </xf>
    <xf borderId="3" fillId="0" fontId="7" numFmtId="164" xfId="0" applyAlignment="1" applyBorder="1" applyFont="1" applyNumberFormat="1">
      <alignment horizontal="center" shrinkToFit="0" wrapText="1"/>
    </xf>
    <xf borderId="5" fillId="0" fontId="5" numFmtId="164" xfId="0" applyAlignment="1" applyBorder="1" applyFont="1" applyNumberFormat="1">
      <alignment horizontal="center" shrinkToFit="0" vertical="bottom" wrapText="1"/>
    </xf>
    <xf borderId="5" fillId="0" fontId="7" numFmtId="164" xfId="0" applyAlignment="1" applyBorder="1" applyFont="1" applyNumberFormat="1">
      <alignment horizontal="center" shrinkToFit="0" wrapText="1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9" fillId="0" fontId="7" numFmtId="164" xfId="0" applyAlignment="1" applyBorder="1" applyFont="1" applyNumberFormat="1">
      <alignment horizontal="center" shrinkToFit="0" wrapText="1"/>
    </xf>
    <xf borderId="10" fillId="2" fontId="9" numFmtId="0" xfId="0" applyAlignment="1" applyBorder="1" applyFill="1" applyFont="1">
      <alignment horizontal="center" vertical="bottom"/>
    </xf>
    <xf borderId="11" fillId="2" fontId="2" numFmtId="0" xfId="0" applyAlignment="1" applyBorder="1" applyFont="1">
      <alignment vertical="bottom"/>
    </xf>
    <xf borderId="11" fillId="2" fontId="10" numFmtId="14" xfId="0" applyAlignment="1" applyBorder="1" applyFont="1" applyNumberFormat="1">
      <alignment horizontal="center" vertical="bottom"/>
    </xf>
    <xf borderId="11" fillId="2" fontId="2" numFmtId="164" xfId="0" applyAlignment="1" applyBorder="1" applyFont="1" applyNumberFormat="1">
      <alignment vertical="bottom"/>
    </xf>
    <xf borderId="12" fillId="2" fontId="2" numFmtId="165" xfId="0" applyAlignment="1" applyBorder="1" applyFont="1" applyNumberFormat="1">
      <alignment vertical="bottom"/>
    </xf>
    <xf borderId="12" fillId="2" fontId="11" numFmtId="165" xfId="0" applyAlignment="1" applyBorder="1" applyFont="1" applyNumberFormat="1">
      <alignment horizontal="center" shrinkToFit="0" vertical="bottom" wrapText="1"/>
    </xf>
    <xf borderId="13" fillId="2" fontId="2" numFmtId="165" xfId="0" applyAlignment="1" applyBorder="1" applyFont="1" applyNumberFormat="1">
      <alignment vertical="bottom"/>
    </xf>
    <xf borderId="13" fillId="2" fontId="11" numFmtId="165" xfId="0" applyAlignment="1" applyBorder="1" applyFont="1" applyNumberFormat="1">
      <alignment horizontal="center" shrinkToFit="0" vertical="bottom" wrapText="1"/>
    </xf>
    <xf borderId="14" fillId="2" fontId="12" numFmtId="0" xfId="0" applyAlignment="1" applyBorder="1" applyFont="1">
      <alignment horizontal="center" vertical="bottom"/>
    </xf>
    <xf borderId="9" fillId="2" fontId="7" numFmtId="165" xfId="0" applyAlignment="1" applyBorder="1" applyFont="1" applyNumberFormat="1">
      <alignment vertical="bottom"/>
    </xf>
    <xf borderId="1" fillId="0" fontId="3" numFmtId="0" xfId="0" applyAlignment="1" applyBorder="1" applyFont="1">
      <alignment horizontal="center" vertical="bottom"/>
    </xf>
    <xf borderId="3" fillId="0" fontId="2" numFmtId="0" xfId="0" applyBorder="1" applyFont="1"/>
    <xf borderId="4" fillId="0" fontId="7" numFmtId="164" xfId="0" applyAlignment="1" applyBorder="1" applyFont="1" applyNumberFormat="1">
      <alignment horizontal="center" shrinkToFit="0" wrapText="1"/>
    </xf>
    <xf borderId="7" fillId="0" fontId="2" numFmtId="0" xfId="0" applyBorder="1" applyFont="1"/>
    <xf borderId="9" fillId="2" fontId="2" numFmtId="165" xfId="0" applyAlignment="1" applyBorder="1" applyFont="1" applyNumberFormat="1">
      <alignment vertical="bottom"/>
    </xf>
    <xf borderId="9" fillId="2" fontId="12" numFmtId="165" xfId="0" applyAlignment="1" applyBorder="1" applyFont="1" applyNumberFormat="1">
      <alignment horizontal="center" shrinkToFit="0" vertical="bottom" wrapText="1"/>
    </xf>
    <xf borderId="5" fillId="2" fontId="2" numFmtId="165" xfId="0" applyAlignment="1" applyBorder="1" applyFont="1" applyNumberFormat="1">
      <alignment vertical="bottom"/>
    </xf>
    <xf borderId="5" fillId="2" fontId="11" numFmtId="165" xfId="0" applyAlignment="1" applyBorder="1" applyFont="1" applyNumberFormat="1">
      <alignment horizontal="center" shrinkToFit="0" vertical="bottom" wrapText="1"/>
    </xf>
    <xf borderId="5" fillId="2" fontId="9" numFmtId="165" xfId="0" applyAlignment="1" applyBorder="1" applyFont="1" applyNumberFormat="1">
      <alignment horizontal="center" shrinkToFit="0" vertical="bottom" wrapText="1"/>
    </xf>
    <xf borderId="12" fillId="2" fontId="9" numFmtId="165" xfId="0" applyAlignment="1" applyBorder="1" applyFont="1" applyNumberFormat="1">
      <alignment horizontal="center" shrinkToFit="0" vertical="bottom" wrapText="1"/>
    </xf>
    <xf borderId="14" fillId="2" fontId="8" numFmtId="0" xfId="0" applyAlignment="1" applyBorder="1" applyFont="1">
      <alignment horizontal="center"/>
    </xf>
    <xf borderId="9" fillId="2" fontId="13" numFmtId="165" xfId="0" applyAlignment="1" applyBorder="1" applyFont="1" applyNumberFormat="1">
      <alignment vertical="bottom"/>
    </xf>
    <xf borderId="15" fillId="0" fontId="2" numFmtId="0" xfId="0" applyAlignment="1" applyBorder="1" applyFont="1">
      <alignment vertical="bottom"/>
    </xf>
    <xf borderId="0" fillId="2" fontId="14" numFmtId="0" xfId="0" applyAlignment="1" applyFont="1">
      <alignment vertical="bottom"/>
    </xf>
    <xf borderId="0" fillId="2" fontId="2" numFmtId="16" xfId="0" applyFont="1" applyNumberFormat="1"/>
    <xf borderId="0" fillId="2" fontId="2" numFmtId="49" xfId="0" applyFont="1" applyNumberFormat="1"/>
    <xf borderId="0" fillId="2" fontId="14" numFmtId="49" xfId="0" applyAlignment="1" applyFont="1" applyNumberFormat="1">
      <alignment shrinkToFit="0" wrapText="0"/>
    </xf>
    <xf borderId="3" fillId="2" fontId="2" numFmtId="49" xfId="0" applyBorder="1" applyFont="1" applyNumberFormat="1"/>
    <xf borderId="15" fillId="0" fontId="7" numFmtId="0" xfId="0" applyAlignment="1" applyBorder="1" applyFont="1">
      <alignment horizontal="center"/>
    </xf>
    <xf borderId="15" fillId="0" fontId="4" numFmtId="0" xfId="0" applyBorder="1" applyFont="1"/>
    <xf borderId="11" fillId="0" fontId="4" numFmtId="0" xfId="0" applyBorder="1" applyFont="1"/>
    <xf borderId="0" fillId="2" fontId="2" numFmtId="0" xfId="0" applyFont="1"/>
    <xf borderId="0" fillId="2" fontId="2" numFmtId="14" xfId="0" applyFont="1" applyNumberFormat="1"/>
    <xf borderId="3" fillId="2" fontId="2" numFmtId="0" xfId="0" applyBorder="1" applyFont="1"/>
    <xf borderId="11" fillId="0" fontId="6" numFmtId="0" xfId="0" applyBorder="1" applyFont="1"/>
    <xf borderId="11" fillId="0" fontId="15" numFmtId="0" xfId="0" applyAlignment="1" applyBorder="1" applyFont="1">
      <alignment horizontal="center" shrinkToFit="0" wrapText="1"/>
    </xf>
    <xf borderId="11" fillId="0" fontId="6" numFmtId="0" xfId="0" applyAlignment="1" applyBorder="1" applyFont="1">
      <alignment horizontal="center" shrinkToFit="0" wrapText="1"/>
    </xf>
    <xf borderId="3" fillId="0" fontId="2" numFmtId="0" xfId="0" applyAlignment="1" applyBorder="1" applyFont="1">
      <alignment vertical="bottom"/>
    </xf>
    <xf borderId="11" fillId="0" fontId="16" numFmtId="0" xfId="0" applyAlignment="1" applyBorder="1" applyFont="1">
      <alignment vertical="bottom"/>
    </xf>
    <xf borderId="11" fillId="0" fontId="2" numFmtId="4" xfId="0" applyAlignment="1" applyBorder="1" applyFont="1" applyNumberFormat="1">
      <alignment vertical="bottom"/>
    </xf>
    <xf borderId="11" fillId="0" fontId="2" numFmtId="0" xfId="0" applyAlignment="1" applyBorder="1" applyFont="1">
      <alignment vertical="bottom"/>
    </xf>
    <xf borderId="0" fillId="0" fontId="7" numFmtId="0" xfId="0" applyAlignment="1" applyFont="1">
      <alignment horizontal="center" vertical="bottom"/>
    </xf>
    <xf borderId="3" fillId="0" fontId="4" numFmtId="0" xfId="0" applyBorder="1" applyFont="1"/>
    <xf borderId="0" fillId="0" fontId="2" numFmtId="0" xfId="0" applyAlignment="1" applyFont="1">
      <alignment horizontal="center" vertical="bottom"/>
    </xf>
    <xf borderId="0" fillId="0" fontId="17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4" t="s">
        <v>1</v>
      </c>
      <c r="L3" s="5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2</v>
      </c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10" t="s">
        <v>9</v>
      </c>
      <c r="I4" s="11" t="s">
        <v>10</v>
      </c>
      <c r="J4" s="12" t="s">
        <v>11</v>
      </c>
      <c r="K4" s="13" t="s">
        <v>12</v>
      </c>
      <c r="L4" s="14" t="s">
        <v>13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5"/>
      <c r="B5" s="16"/>
      <c r="C5" s="17"/>
      <c r="D5" s="16"/>
      <c r="E5" s="16"/>
      <c r="F5" s="16"/>
      <c r="G5" s="16"/>
      <c r="H5" s="16"/>
      <c r="I5" s="17"/>
      <c r="J5" s="16"/>
      <c r="K5" s="18"/>
      <c r="L5" s="19" t="s">
        <v>14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0">
        <v>1.0</v>
      </c>
      <c r="B6" s="21"/>
      <c r="C6" s="22">
        <v>45470.0</v>
      </c>
      <c r="D6" s="23"/>
      <c r="E6" s="21"/>
      <c r="F6" s="21"/>
      <c r="G6" s="21"/>
      <c r="H6" s="21"/>
      <c r="I6" s="21"/>
      <c r="J6" s="23"/>
      <c r="K6" s="24"/>
      <c r="L6" s="25">
        <f t="shared" ref="L6:L25" si="1">J6*K6</f>
        <v>0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0">
        <f t="shared" ref="A7:A25" si="2">A6+1</f>
        <v>2</v>
      </c>
      <c r="B7" s="21"/>
      <c r="C7" s="22">
        <v>45470.0</v>
      </c>
      <c r="D7" s="23"/>
      <c r="E7" s="21"/>
      <c r="F7" s="21"/>
      <c r="G7" s="21"/>
      <c r="H7" s="21"/>
      <c r="I7" s="21"/>
      <c r="J7" s="23"/>
      <c r="K7" s="24"/>
      <c r="L7" s="25">
        <f t="shared" si="1"/>
        <v>0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0">
        <f t="shared" si="2"/>
        <v>3</v>
      </c>
      <c r="B8" s="21"/>
      <c r="C8" s="22">
        <v>45470.0</v>
      </c>
      <c r="D8" s="23"/>
      <c r="E8" s="21"/>
      <c r="F8" s="21"/>
      <c r="G8" s="21"/>
      <c r="H8" s="21"/>
      <c r="I8" s="21"/>
      <c r="J8" s="23"/>
      <c r="K8" s="26"/>
      <c r="L8" s="27">
        <f t="shared" si="1"/>
        <v>0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0">
        <f t="shared" si="2"/>
        <v>4</v>
      </c>
      <c r="B9" s="21"/>
      <c r="C9" s="22">
        <v>45470.0</v>
      </c>
      <c r="D9" s="23"/>
      <c r="E9" s="21"/>
      <c r="F9" s="21"/>
      <c r="G9" s="21"/>
      <c r="H9" s="21"/>
      <c r="I9" s="21"/>
      <c r="J9" s="23"/>
      <c r="K9" s="26"/>
      <c r="L9" s="27">
        <f t="shared" si="1"/>
        <v>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0">
        <f t="shared" si="2"/>
        <v>5</v>
      </c>
      <c r="B10" s="21"/>
      <c r="C10" s="22">
        <v>45470.0</v>
      </c>
      <c r="D10" s="23"/>
      <c r="E10" s="21"/>
      <c r="F10" s="21"/>
      <c r="G10" s="21"/>
      <c r="H10" s="21"/>
      <c r="I10" s="21"/>
      <c r="J10" s="23"/>
      <c r="K10" s="26"/>
      <c r="L10" s="27">
        <f t="shared" si="1"/>
        <v>0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0">
        <f t="shared" si="2"/>
        <v>6</v>
      </c>
      <c r="B11" s="21"/>
      <c r="C11" s="22">
        <v>45470.0</v>
      </c>
      <c r="D11" s="23"/>
      <c r="E11" s="21"/>
      <c r="F11" s="21"/>
      <c r="G11" s="21"/>
      <c r="H11" s="21"/>
      <c r="I11" s="21"/>
      <c r="J11" s="23"/>
      <c r="K11" s="26"/>
      <c r="L11" s="27">
        <f t="shared" si="1"/>
        <v>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0">
        <f t="shared" si="2"/>
        <v>7</v>
      </c>
      <c r="B12" s="21"/>
      <c r="C12" s="22">
        <v>45470.0</v>
      </c>
      <c r="D12" s="23"/>
      <c r="E12" s="21"/>
      <c r="F12" s="21"/>
      <c r="G12" s="21"/>
      <c r="H12" s="21"/>
      <c r="I12" s="21"/>
      <c r="J12" s="23"/>
      <c r="K12" s="26"/>
      <c r="L12" s="27">
        <f t="shared" si="1"/>
        <v>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0">
        <f t="shared" si="2"/>
        <v>8</v>
      </c>
      <c r="B13" s="21"/>
      <c r="C13" s="22">
        <v>45470.0</v>
      </c>
      <c r="D13" s="23"/>
      <c r="E13" s="21"/>
      <c r="F13" s="21"/>
      <c r="G13" s="21"/>
      <c r="H13" s="21"/>
      <c r="I13" s="21"/>
      <c r="J13" s="23"/>
      <c r="K13" s="26"/>
      <c r="L13" s="27">
        <f t="shared" si="1"/>
        <v>0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0">
        <f t="shared" si="2"/>
        <v>9</v>
      </c>
      <c r="B14" s="21"/>
      <c r="C14" s="22">
        <v>45470.0</v>
      </c>
      <c r="D14" s="23"/>
      <c r="E14" s="21"/>
      <c r="F14" s="21"/>
      <c r="G14" s="21"/>
      <c r="H14" s="21"/>
      <c r="I14" s="21"/>
      <c r="J14" s="23"/>
      <c r="K14" s="26"/>
      <c r="L14" s="27">
        <f t="shared" si="1"/>
        <v>0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0">
        <f t="shared" si="2"/>
        <v>10</v>
      </c>
      <c r="B15" s="21"/>
      <c r="C15" s="22">
        <v>45470.0</v>
      </c>
      <c r="D15" s="23"/>
      <c r="E15" s="21"/>
      <c r="F15" s="21"/>
      <c r="G15" s="21"/>
      <c r="H15" s="21"/>
      <c r="I15" s="21"/>
      <c r="J15" s="23"/>
      <c r="K15" s="26"/>
      <c r="L15" s="27">
        <f t="shared" si="1"/>
        <v>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0">
        <f t="shared" si="2"/>
        <v>11</v>
      </c>
      <c r="B16" s="21"/>
      <c r="C16" s="22">
        <v>45470.0</v>
      </c>
      <c r="D16" s="23"/>
      <c r="E16" s="21"/>
      <c r="F16" s="21"/>
      <c r="G16" s="21"/>
      <c r="H16" s="21"/>
      <c r="I16" s="21"/>
      <c r="J16" s="23"/>
      <c r="K16" s="26"/>
      <c r="L16" s="27">
        <f t="shared" si="1"/>
        <v>0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0">
        <f t="shared" si="2"/>
        <v>12</v>
      </c>
      <c r="B17" s="21"/>
      <c r="C17" s="22">
        <v>45470.0</v>
      </c>
      <c r="D17" s="23"/>
      <c r="E17" s="21"/>
      <c r="F17" s="21"/>
      <c r="G17" s="21"/>
      <c r="H17" s="21"/>
      <c r="I17" s="21"/>
      <c r="J17" s="23"/>
      <c r="K17" s="26"/>
      <c r="L17" s="27">
        <f t="shared" si="1"/>
        <v>0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0">
        <f t="shared" si="2"/>
        <v>13</v>
      </c>
      <c r="B18" s="21"/>
      <c r="C18" s="22">
        <v>45470.0</v>
      </c>
      <c r="D18" s="23"/>
      <c r="E18" s="21"/>
      <c r="F18" s="21"/>
      <c r="G18" s="21"/>
      <c r="H18" s="21"/>
      <c r="I18" s="21"/>
      <c r="J18" s="23"/>
      <c r="K18" s="26"/>
      <c r="L18" s="27">
        <f t="shared" si="1"/>
        <v>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0">
        <f t="shared" si="2"/>
        <v>14</v>
      </c>
      <c r="B19" s="21"/>
      <c r="C19" s="22">
        <v>45470.0</v>
      </c>
      <c r="D19" s="23"/>
      <c r="E19" s="21"/>
      <c r="F19" s="21"/>
      <c r="G19" s="21"/>
      <c r="H19" s="21"/>
      <c r="I19" s="21"/>
      <c r="J19" s="23"/>
      <c r="K19" s="26"/>
      <c r="L19" s="27">
        <f t="shared" si="1"/>
        <v>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0">
        <f t="shared" si="2"/>
        <v>15</v>
      </c>
      <c r="B20" s="21"/>
      <c r="C20" s="22">
        <v>45470.0</v>
      </c>
      <c r="D20" s="23"/>
      <c r="E20" s="21"/>
      <c r="F20" s="21"/>
      <c r="G20" s="21"/>
      <c r="H20" s="21"/>
      <c r="I20" s="21"/>
      <c r="J20" s="23"/>
      <c r="K20" s="26"/>
      <c r="L20" s="27">
        <f t="shared" si="1"/>
        <v>0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0">
        <f t="shared" si="2"/>
        <v>16</v>
      </c>
      <c r="B21" s="21"/>
      <c r="C21" s="22">
        <v>45470.0</v>
      </c>
      <c r="D21" s="23"/>
      <c r="E21" s="21"/>
      <c r="F21" s="21"/>
      <c r="G21" s="21"/>
      <c r="H21" s="21"/>
      <c r="I21" s="21"/>
      <c r="J21" s="23"/>
      <c r="K21" s="26"/>
      <c r="L21" s="27">
        <f t="shared" si="1"/>
        <v>0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0">
        <f t="shared" si="2"/>
        <v>17</v>
      </c>
      <c r="B22" s="21"/>
      <c r="C22" s="22">
        <v>45470.0</v>
      </c>
      <c r="D22" s="23"/>
      <c r="E22" s="21"/>
      <c r="F22" s="21"/>
      <c r="G22" s="21"/>
      <c r="H22" s="21"/>
      <c r="I22" s="21"/>
      <c r="J22" s="23"/>
      <c r="K22" s="26"/>
      <c r="L22" s="27">
        <f t="shared" si="1"/>
        <v>0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0">
        <f t="shared" si="2"/>
        <v>18</v>
      </c>
      <c r="B23" s="21"/>
      <c r="C23" s="22">
        <v>45470.0</v>
      </c>
      <c r="D23" s="23"/>
      <c r="E23" s="21"/>
      <c r="F23" s="21"/>
      <c r="G23" s="21"/>
      <c r="H23" s="21"/>
      <c r="I23" s="21"/>
      <c r="J23" s="23"/>
      <c r="K23" s="26"/>
      <c r="L23" s="27">
        <f t="shared" si="1"/>
        <v>0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0">
        <f t="shared" si="2"/>
        <v>19</v>
      </c>
      <c r="B24" s="21"/>
      <c r="C24" s="22">
        <v>45470.0</v>
      </c>
      <c r="D24" s="23"/>
      <c r="E24" s="21"/>
      <c r="F24" s="21"/>
      <c r="G24" s="21"/>
      <c r="H24" s="21"/>
      <c r="I24" s="21"/>
      <c r="J24" s="23"/>
      <c r="K24" s="26"/>
      <c r="L24" s="27">
        <f t="shared" si="1"/>
        <v>0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0">
        <f t="shared" si="2"/>
        <v>20</v>
      </c>
      <c r="B25" s="21"/>
      <c r="C25" s="22">
        <v>45470.0</v>
      </c>
      <c r="D25" s="23"/>
      <c r="E25" s="21"/>
      <c r="F25" s="21"/>
      <c r="G25" s="21"/>
      <c r="H25" s="21"/>
      <c r="I25" s="21"/>
      <c r="J25" s="23"/>
      <c r="K25" s="24"/>
      <c r="L25" s="25">
        <f t="shared" si="1"/>
        <v>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8" t="s">
        <v>15</v>
      </c>
      <c r="B26" s="5"/>
      <c r="C26" s="5"/>
      <c r="D26" s="5"/>
      <c r="E26" s="5"/>
      <c r="F26" s="5"/>
      <c r="G26" s="5"/>
      <c r="H26" s="5"/>
      <c r="I26" s="5"/>
      <c r="J26" s="17"/>
      <c r="K26" s="29">
        <f t="shared" ref="K26:L26" si="3">SUM(K6:K25)</f>
        <v>0</v>
      </c>
      <c r="L26" s="29">
        <f t="shared" si="3"/>
        <v>0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0" t="s">
        <v>16</v>
      </c>
      <c r="L27" s="5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6" t="s">
        <v>2</v>
      </c>
      <c r="B28" s="7" t="s">
        <v>3</v>
      </c>
      <c r="C28" s="8" t="s">
        <v>4</v>
      </c>
      <c r="D28" s="9" t="s">
        <v>5</v>
      </c>
      <c r="E28" s="9" t="s">
        <v>6</v>
      </c>
      <c r="F28" s="31"/>
      <c r="G28" s="9" t="s">
        <v>8</v>
      </c>
      <c r="H28" s="10" t="s">
        <v>9</v>
      </c>
      <c r="I28" s="32" t="s">
        <v>10</v>
      </c>
      <c r="J28" s="12" t="s">
        <v>11</v>
      </c>
      <c r="K28" s="13" t="s">
        <v>12</v>
      </c>
      <c r="L28" s="14" t="s">
        <v>13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5"/>
      <c r="B29" s="16"/>
      <c r="C29" s="17"/>
      <c r="D29" s="16"/>
      <c r="E29" s="16"/>
      <c r="F29" s="33"/>
      <c r="G29" s="16"/>
      <c r="H29" s="16"/>
      <c r="I29" s="17"/>
      <c r="J29" s="16"/>
      <c r="K29" s="18"/>
      <c r="L29" s="19" t="s">
        <v>14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8" t="s">
        <v>17</v>
      </c>
      <c r="B30" s="5"/>
      <c r="C30" s="5"/>
      <c r="D30" s="5"/>
      <c r="E30" s="5"/>
      <c r="F30" s="5"/>
      <c r="G30" s="5"/>
      <c r="H30" s="5"/>
      <c r="I30" s="5"/>
      <c r="J30" s="18"/>
      <c r="K30" s="34"/>
      <c r="L30" s="35">
        <v>0.0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0">
        <f>A25+1</f>
        <v>21</v>
      </c>
      <c r="B31" s="21"/>
      <c r="C31" s="22">
        <v>45470.0</v>
      </c>
      <c r="D31" s="23"/>
      <c r="E31" s="21"/>
      <c r="F31" s="21"/>
      <c r="G31" s="21"/>
      <c r="H31" s="21"/>
      <c r="I31" s="21"/>
      <c r="J31" s="23"/>
      <c r="K31" s="36"/>
      <c r="L31" s="37">
        <f t="shared" ref="L31:L32" si="4">J31*K31</f>
        <v>0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0">
        <f t="shared" ref="A32:A50" si="5">A31+1</f>
        <v>22</v>
      </c>
      <c r="B32" s="21"/>
      <c r="C32" s="22">
        <v>45470.0</v>
      </c>
      <c r="D32" s="23"/>
      <c r="E32" s="21"/>
      <c r="F32" s="21"/>
      <c r="G32" s="21"/>
      <c r="H32" s="21"/>
      <c r="I32" s="21"/>
      <c r="J32" s="23"/>
      <c r="K32" s="26"/>
      <c r="L32" s="37">
        <f t="shared" si="4"/>
        <v>0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0">
        <f t="shared" si="5"/>
        <v>23</v>
      </c>
      <c r="B33" s="21"/>
      <c r="C33" s="22">
        <v>45470.0</v>
      </c>
      <c r="D33" s="23"/>
      <c r="E33" s="21"/>
      <c r="F33" s="21"/>
      <c r="G33" s="21"/>
      <c r="H33" s="21"/>
      <c r="I33" s="21"/>
      <c r="J33" s="23"/>
      <c r="K33" s="26"/>
      <c r="L33" s="36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0">
        <f t="shared" si="5"/>
        <v>24</v>
      </c>
      <c r="B34" s="21"/>
      <c r="C34" s="22">
        <v>45470.0</v>
      </c>
      <c r="D34" s="23"/>
      <c r="E34" s="21"/>
      <c r="F34" s="21"/>
      <c r="G34" s="21"/>
      <c r="H34" s="21"/>
      <c r="I34" s="21"/>
      <c r="J34" s="23"/>
      <c r="K34" s="26"/>
      <c r="L34" s="37">
        <f t="shared" ref="L34:L50" si="6">J34*K34</f>
        <v>0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0">
        <f t="shared" si="5"/>
        <v>25</v>
      </c>
      <c r="B35" s="21"/>
      <c r="C35" s="22">
        <v>45470.0</v>
      </c>
      <c r="D35" s="23"/>
      <c r="E35" s="21"/>
      <c r="F35" s="21"/>
      <c r="G35" s="21"/>
      <c r="H35" s="21"/>
      <c r="I35" s="21"/>
      <c r="J35" s="23"/>
      <c r="K35" s="26"/>
      <c r="L35" s="37">
        <f t="shared" si="6"/>
        <v>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0">
        <f t="shared" si="5"/>
        <v>26</v>
      </c>
      <c r="B36" s="21"/>
      <c r="C36" s="22">
        <v>45470.0</v>
      </c>
      <c r="D36" s="23"/>
      <c r="E36" s="21"/>
      <c r="F36" s="21"/>
      <c r="G36" s="21"/>
      <c r="H36" s="21"/>
      <c r="I36" s="21"/>
      <c r="J36" s="23"/>
      <c r="K36" s="26"/>
      <c r="L36" s="37">
        <f t="shared" si="6"/>
        <v>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0">
        <f t="shared" si="5"/>
        <v>27</v>
      </c>
      <c r="B37" s="21"/>
      <c r="C37" s="22">
        <v>45470.0</v>
      </c>
      <c r="D37" s="23"/>
      <c r="E37" s="21"/>
      <c r="F37" s="21"/>
      <c r="G37" s="21"/>
      <c r="H37" s="21"/>
      <c r="I37" s="21"/>
      <c r="J37" s="23"/>
      <c r="K37" s="26"/>
      <c r="L37" s="37">
        <f t="shared" si="6"/>
        <v>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0">
        <f t="shared" si="5"/>
        <v>28</v>
      </c>
      <c r="B38" s="21"/>
      <c r="C38" s="22">
        <v>45470.0</v>
      </c>
      <c r="D38" s="23"/>
      <c r="E38" s="21"/>
      <c r="F38" s="21"/>
      <c r="G38" s="21"/>
      <c r="H38" s="21"/>
      <c r="I38" s="21"/>
      <c r="J38" s="23"/>
      <c r="K38" s="26"/>
      <c r="L38" s="37">
        <f t="shared" si="6"/>
        <v>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0">
        <f t="shared" si="5"/>
        <v>29</v>
      </c>
      <c r="B39" s="21"/>
      <c r="C39" s="22">
        <v>45470.0</v>
      </c>
      <c r="D39" s="23"/>
      <c r="E39" s="21"/>
      <c r="F39" s="21"/>
      <c r="G39" s="21"/>
      <c r="H39" s="21"/>
      <c r="I39" s="21"/>
      <c r="J39" s="23"/>
      <c r="K39" s="26"/>
      <c r="L39" s="37">
        <f t="shared" si="6"/>
        <v>0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0">
        <f t="shared" si="5"/>
        <v>30</v>
      </c>
      <c r="B40" s="21"/>
      <c r="C40" s="22">
        <v>45470.0</v>
      </c>
      <c r="D40" s="23"/>
      <c r="E40" s="21"/>
      <c r="F40" s="21"/>
      <c r="G40" s="21"/>
      <c r="H40" s="21"/>
      <c r="I40" s="21"/>
      <c r="J40" s="23"/>
      <c r="K40" s="26"/>
      <c r="L40" s="37">
        <f t="shared" si="6"/>
        <v>0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0">
        <f t="shared" si="5"/>
        <v>31</v>
      </c>
      <c r="B41" s="21"/>
      <c r="C41" s="22">
        <v>45470.0</v>
      </c>
      <c r="D41" s="23"/>
      <c r="E41" s="21"/>
      <c r="F41" s="21"/>
      <c r="G41" s="21"/>
      <c r="H41" s="21"/>
      <c r="I41" s="21"/>
      <c r="J41" s="23"/>
      <c r="K41" s="26"/>
      <c r="L41" s="37">
        <f t="shared" si="6"/>
        <v>0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0">
        <f t="shared" si="5"/>
        <v>32</v>
      </c>
      <c r="B42" s="21"/>
      <c r="C42" s="22">
        <v>45470.0</v>
      </c>
      <c r="D42" s="23"/>
      <c r="E42" s="21"/>
      <c r="F42" s="21"/>
      <c r="G42" s="21"/>
      <c r="H42" s="21"/>
      <c r="I42" s="21"/>
      <c r="J42" s="23"/>
      <c r="K42" s="26"/>
      <c r="L42" s="37">
        <f t="shared" si="6"/>
        <v>0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0">
        <f t="shared" si="5"/>
        <v>33</v>
      </c>
      <c r="B43" s="21"/>
      <c r="C43" s="22">
        <v>45470.0</v>
      </c>
      <c r="D43" s="23"/>
      <c r="E43" s="21"/>
      <c r="F43" s="21"/>
      <c r="G43" s="21"/>
      <c r="H43" s="21"/>
      <c r="I43" s="21"/>
      <c r="J43" s="23"/>
      <c r="K43" s="26"/>
      <c r="L43" s="37">
        <f t="shared" si="6"/>
        <v>0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0">
        <f t="shared" si="5"/>
        <v>34</v>
      </c>
      <c r="B44" s="21"/>
      <c r="C44" s="22">
        <v>45470.0</v>
      </c>
      <c r="D44" s="23"/>
      <c r="E44" s="21"/>
      <c r="F44" s="21"/>
      <c r="G44" s="21"/>
      <c r="H44" s="21"/>
      <c r="I44" s="21"/>
      <c r="J44" s="23"/>
      <c r="K44" s="26"/>
      <c r="L44" s="37">
        <f t="shared" si="6"/>
        <v>0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0">
        <f t="shared" si="5"/>
        <v>35</v>
      </c>
      <c r="B45" s="21"/>
      <c r="C45" s="22">
        <v>45470.0</v>
      </c>
      <c r="D45" s="23"/>
      <c r="E45" s="21"/>
      <c r="F45" s="21"/>
      <c r="G45" s="21"/>
      <c r="H45" s="21"/>
      <c r="I45" s="21"/>
      <c r="J45" s="23"/>
      <c r="K45" s="26"/>
      <c r="L45" s="37">
        <f t="shared" si="6"/>
        <v>0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0">
        <f t="shared" si="5"/>
        <v>36</v>
      </c>
      <c r="B46" s="21"/>
      <c r="C46" s="22">
        <v>45470.0</v>
      </c>
      <c r="D46" s="23"/>
      <c r="E46" s="21"/>
      <c r="F46" s="21"/>
      <c r="G46" s="21"/>
      <c r="H46" s="21"/>
      <c r="I46" s="21"/>
      <c r="J46" s="23"/>
      <c r="K46" s="26"/>
      <c r="L46" s="37">
        <f t="shared" si="6"/>
        <v>0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0">
        <f t="shared" si="5"/>
        <v>37</v>
      </c>
      <c r="B47" s="21"/>
      <c r="C47" s="22">
        <v>45470.0</v>
      </c>
      <c r="D47" s="23"/>
      <c r="E47" s="21"/>
      <c r="F47" s="21"/>
      <c r="G47" s="21"/>
      <c r="H47" s="21"/>
      <c r="I47" s="21"/>
      <c r="J47" s="23"/>
      <c r="K47" s="26"/>
      <c r="L47" s="37">
        <f t="shared" si="6"/>
        <v>0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0">
        <f t="shared" si="5"/>
        <v>38</v>
      </c>
      <c r="B48" s="21"/>
      <c r="C48" s="22">
        <v>45470.0</v>
      </c>
      <c r="D48" s="23"/>
      <c r="E48" s="21"/>
      <c r="F48" s="21"/>
      <c r="G48" s="21"/>
      <c r="H48" s="21"/>
      <c r="I48" s="21"/>
      <c r="J48" s="23"/>
      <c r="K48" s="26"/>
      <c r="L48" s="37">
        <f t="shared" si="6"/>
        <v>0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0">
        <f t="shared" si="5"/>
        <v>39</v>
      </c>
      <c r="B49" s="21"/>
      <c r="C49" s="22">
        <v>45470.0</v>
      </c>
      <c r="D49" s="23"/>
      <c r="E49" s="21"/>
      <c r="F49" s="21"/>
      <c r="G49" s="21"/>
      <c r="H49" s="21"/>
      <c r="I49" s="21"/>
      <c r="J49" s="23"/>
      <c r="K49" s="26"/>
      <c r="L49" s="37">
        <f t="shared" si="6"/>
        <v>0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0">
        <f t="shared" si="5"/>
        <v>40</v>
      </c>
      <c r="B50" s="21"/>
      <c r="C50" s="22">
        <v>45470.0</v>
      </c>
      <c r="D50" s="23"/>
      <c r="E50" s="21"/>
      <c r="F50" s="21"/>
      <c r="G50" s="21"/>
      <c r="H50" s="21"/>
      <c r="I50" s="21"/>
      <c r="J50" s="23"/>
      <c r="K50" s="24"/>
      <c r="L50" s="25">
        <f t="shared" si="6"/>
        <v>0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8" t="s">
        <v>15</v>
      </c>
      <c r="B51" s="5"/>
      <c r="C51" s="5"/>
      <c r="D51" s="5"/>
      <c r="E51" s="5"/>
      <c r="F51" s="5"/>
      <c r="G51" s="5"/>
      <c r="H51" s="5"/>
      <c r="I51" s="5"/>
      <c r="J51" s="17"/>
      <c r="K51" s="29">
        <v>0.0</v>
      </c>
      <c r="L51" s="29">
        <v>0.0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0" t="s">
        <v>18</v>
      </c>
      <c r="L52" s="5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6" t="s">
        <v>2</v>
      </c>
      <c r="B53" s="7" t="s">
        <v>3</v>
      </c>
      <c r="C53" s="8" t="s">
        <v>4</v>
      </c>
      <c r="D53" s="9" t="s">
        <v>5</v>
      </c>
      <c r="E53" s="9" t="s">
        <v>6</v>
      </c>
      <c r="F53" s="31"/>
      <c r="G53" s="9" t="s">
        <v>8</v>
      </c>
      <c r="H53" s="10" t="s">
        <v>9</v>
      </c>
      <c r="I53" s="32" t="s">
        <v>10</v>
      </c>
      <c r="J53" s="12" t="s">
        <v>11</v>
      </c>
      <c r="K53" s="13" t="s">
        <v>12</v>
      </c>
      <c r="L53" s="14" t="s">
        <v>13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5"/>
      <c r="B54" s="16"/>
      <c r="C54" s="17"/>
      <c r="D54" s="16"/>
      <c r="E54" s="16"/>
      <c r="F54" s="33"/>
      <c r="G54" s="16"/>
      <c r="H54" s="16"/>
      <c r="I54" s="17"/>
      <c r="J54" s="16"/>
      <c r="K54" s="18"/>
      <c r="L54" s="19" t="s">
        <v>14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8" t="s">
        <v>17</v>
      </c>
      <c r="B55" s="5"/>
      <c r="C55" s="5"/>
      <c r="D55" s="5"/>
      <c r="E55" s="5"/>
      <c r="F55" s="5"/>
      <c r="G55" s="5"/>
      <c r="H55" s="5"/>
      <c r="I55" s="5"/>
      <c r="J55" s="18"/>
      <c r="K55" s="34"/>
      <c r="L55" s="35">
        <v>0.0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0">
        <f>A50+1</f>
        <v>41</v>
      </c>
      <c r="B56" s="21"/>
      <c r="C56" s="22">
        <v>45470.0</v>
      </c>
      <c r="D56" s="23"/>
      <c r="E56" s="21"/>
      <c r="F56" s="21"/>
      <c r="G56" s="21"/>
      <c r="H56" s="21"/>
      <c r="I56" s="21"/>
      <c r="J56" s="23"/>
      <c r="K56" s="26"/>
      <c r="L56" s="37">
        <f t="shared" ref="L56:L65" si="7">J56*K56</f>
        <v>0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0">
        <f t="shared" ref="A57:A65" si="8">A56+1</f>
        <v>42</v>
      </c>
      <c r="B57" s="21"/>
      <c r="C57" s="22">
        <v>45470.0</v>
      </c>
      <c r="D57" s="23"/>
      <c r="E57" s="21"/>
      <c r="F57" s="21"/>
      <c r="G57" s="21"/>
      <c r="H57" s="21"/>
      <c r="I57" s="21"/>
      <c r="J57" s="23"/>
      <c r="K57" s="36"/>
      <c r="L57" s="37">
        <f t="shared" si="7"/>
        <v>0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0">
        <f t="shared" si="8"/>
        <v>43</v>
      </c>
      <c r="B58" s="21"/>
      <c r="C58" s="22">
        <v>45470.0</v>
      </c>
      <c r="D58" s="23"/>
      <c r="E58" s="21"/>
      <c r="F58" s="21"/>
      <c r="G58" s="21"/>
      <c r="H58" s="21"/>
      <c r="I58" s="21"/>
      <c r="J58" s="23"/>
      <c r="K58" s="26"/>
      <c r="L58" s="38">
        <f t="shared" si="7"/>
        <v>0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0">
        <f t="shared" si="8"/>
        <v>44</v>
      </c>
      <c r="B59" s="21"/>
      <c r="C59" s="22">
        <v>45470.0</v>
      </c>
      <c r="D59" s="23"/>
      <c r="E59" s="21"/>
      <c r="F59" s="21"/>
      <c r="G59" s="21"/>
      <c r="H59" s="21"/>
      <c r="I59" s="21"/>
      <c r="J59" s="23"/>
      <c r="K59" s="26"/>
      <c r="L59" s="38">
        <f t="shared" si="7"/>
        <v>0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0">
        <f t="shared" si="8"/>
        <v>45</v>
      </c>
      <c r="B60" s="21"/>
      <c r="C60" s="22">
        <v>45470.0</v>
      </c>
      <c r="D60" s="23"/>
      <c r="E60" s="21"/>
      <c r="F60" s="21"/>
      <c r="G60" s="21"/>
      <c r="H60" s="21"/>
      <c r="I60" s="21"/>
      <c r="J60" s="23"/>
      <c r="K60" s="26"/>
      <c r="L60" s="38">
        <f t="shared" si="7"/>
        <v>0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0">
        <f t="shared" si="8"/>
        <v>46</v>
      </c>
      <c r="B61" s="21"/>
      <c r="C61" s="22">
        <v>45470.0</v>
      </c>
      <c r="D61" s="23"/>
      <c r="E61" s="21"/>
      <c r="F61" s="21"/>
      <c r="G61" s="21"/>
      <c r="H61" s="21"/>
      <c r="I61" s="21"/>
      <c r="J61" s="23"/>
      <c r="K61" s="26"/>
      <c r="L61" s="38">
        <f t="shared" si="7"/>
        <v>0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0">
        <f t="shared" si="8"/>
        <v>47</v>
      </c>
      <c r="B62" s="21"/>
      <c r="C62" s="22">
        <v>45470.0</v>
      </c>
      <c r="D62" s="23"/>
      <c r="E62" s="21"/>
      <c r="F62" s="21"/>
      <c r="G62" s="21"/>
      <c r="H62" s="21"/>
      <c r="I62" s="21"/>
      <c r="J62" s="23"/>
      <c r="K62" s="26"/>
      <c r="L62" s="38">
        <f t="shared" si="7"/>
        <v>0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0">
        <f t="shared" si="8"/>
        <v>48</v>
      </c>
      <c r="B63" s="21"/>
      <c r="C63" s="22">
        <v>45470.0</v>
      </c>
      <c r="D63" s="23"/>
      <c r="E63" s="21"/>
      <c r="F63" s="21"/>
      <c r="G63" s="21"/>
      <c r="H63" s="21"/>
      <c r="I63" s="21"/>
      <c r="J63" s="23"/>
      <c r="K63" s="26"/>
      <c r="L63" s="38">
        <f t="shared" si="7"/>
        <v>0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0">
        <f t="shared" si="8"/>
        <v>49</v>
      </c>
      <c r="B64" s="21"/>
      <c r="C64" s="22">
        <v>45470.0</v>
      </c>
      <c r="D64" s="23"/>
      <c r="E64" s="21"/>
      <c r="F64" s="21"/>
      <c r="G64" s="21"/>
      <c r="H64" s="21"/>
      <c r="I64" s="21"/>
      <c r="J64" s="23"/>
      <c r="K64" s="26"/>
      <c r="L64" s="38">
        <f t="shared" si="7"/>
        <v>0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0">
        <f t="shared" si="8"/>
        <v>50</v>
      </c>
      <c r="B65" s="21"/>
      <c r="C65" s="22">
        <v>45470.0</v>
      </c>
      <c r="D65" s="23"/>
      <c r="E65" s="21"/>
      <c r="F65" s="21"/>
      <c r="G65" s="21"/>
      <c r="H65" s="21"/>
      <c r="I65" s="21"/>
      <c r="J65" s="23"/>
      <c r="K65" s="24"/>
      <c r="L65" s="39">
        <f t="shared" si="7"/>
        <v>0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0" t="s">
        <v>19</v>
      </c>
      <c r="B66" s="5"/>
      <c r="C66" s="5"/>
      <c r="D66" s="5"/>
      <c r="E66" s="5"/>
      <c r="F66" s="5"/>
      <c r="G66" s="5"/>
      <c r="H66" s="5"/>
      <c r="I66" s="5"/>
      <c r="J66" s="17"/>
      <c r="K66" s="41">
        <v>0.0</v>
      </c>
      <c r="L66" s="41">
        <v>0.0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42"/>
      <c r="J67" s="42"/>
      <c r="K67" s="42"/>
      <c r="L67" s="4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3" t="s">
        <v>20</v>
      </c>
      <c r="D68" s="44"/>
      <c r="E68" s="45"/>
      <c r="F68" s="45"/>
      <c r="G68" s="46" t="s">
        <v>21</v>
      </c>
      <c r="H68" s="47"/>
      <c r="I68" s="48" t="s">
        <v>22</v>
      </c>
      <c r="J68" s="49"/>
      <c r="K68" s="49"/>
      <c r="L68" s="50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51"/>
      <c r="B69" s="51"/>
      <c r="C69" s="52"/>
      <c r="D69" s="44"/>
      <c r="E69" s="51"/>
      <c r="F69" s="51"/>
      <c r="G69" s="51"/>
      <c r="H69" s="53"/>
      <c r="I69" s="54" t="s">
        <v>23</v>
      </c>
      <c r="J69" s="55" t="s">
        <v>24</v>
      </c>
      <c r="K69" s="56" t="s">
        <v>25</v>
      </c>
      <c r="L69" s="54" t="s">
        <v>26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57"/>
      <c r="I70" s="58" t="s">
        <v>27</v>
      </c>
      <c r="J70" s="59"/>
      <c r="K70" s="59"/>
      <c r="L70" s="60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61" t="s">
        <v>28</v>
      </c>
      <c r="E71" s="2"/>
      <c r="F71" s="2"/>
      <c r="G71" s="61" t="s">
        <v>29</v>
      </c>
      <c r="H71" s="62"/>
      <c r="I71" s="58" t="s">
        <v>30</v>
      </c>
      <c r="J71" s="60"/>
      <c r="K71" s="60"/>
      <c r="L71" s="60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63" t="s">
        <v>31</v>
      </c>
      <c r="E72" s="2"/>
      <c r="F72" s="2"/>
      <c r="G72" s="64" t="s">
        <v>32</v>
      </c>
      <c r="H72" s="62"/>
      <c r="I72" s="58" t="s">
        <v>33</v>
      </c>
      <c r="J72" s="60"/>
      <c r="K72" s="60"/>
      <c r="L72" s="60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6">
    <mergeCell ref="H4:H5"/>
    <mergeCell ref="I4:I5"/>
    <mergeCell ref="A26:J26"/>
    <mergeCell ref="K27:L27"/>
    <mergeCell ref="A28:A29"/>
    <mergeCell ref="B28:B29"/>
    <mergeCell ref="K28:K29"/>
    <mergeCell ref="G53:G54"/>
    <mergeCell ref="H53:H54"/>
    <mergeCell ref="I53:I54"/>
    <mergeCell ref="J53:J54"/>
    <mergeCell ref="C28:C29"/>
    <mergeCell ref="A30:J30"/>
    <mergeCell ref="A51:J51"/>
    <mergeCell ref="K52:L52"/>
    <mergeCell ref="A53:A54"/>
    <mergeCell ref="B53:B54"/>
    <mergeCell ref="C53:C54"/>
    <mergeCell ref="K53:K54"/>
    <mergeCell ref="F4:F5"/>
    <mergeCell ref="G4:G5"/>
    <mergeCell ref="J4:J5"/>
    <mergeCell ref="K4:K5"/>
    <mergeCell ref="A1:L2"/>
    <mergeCell ref="K3:L3"/>
    <mergeCell ref="A4:A5"/>
    <mergeCell ref="B4:B5"/>
    <mergeCell ref="C4:C5"/>
    <mergeCell ref="D4:D5"/>
    <mergeCell ref="E4:E5"/>
    <mergeCell ref="D28:D29"/>
    <mergeCell ref="E28:E29"/>
    <mergeCell ref="G28:G29"/>
    <mergeCell ref="H28:H29"/>
    <mergeCell ref="I28:I29"/>
    <mergeCell ref="J28:J29"/>
    <mergeCell ref="B71:D71"/>
    <mergeCell ref="B72:D72"/>
    <mergeCell ref="G72:H72"/>
    <mergeCell ref="D53:D54"/>
    <mergeCell ref="E53:E54"/>
    <mergeCell ref="A55:J55"/>
    <mergeCell ref="A66:J66"/>
    <mergeCell ref="A68:C68"/>
    <mergeCell ref="I68:L68"/>
    <mergeCell ref="G71:H71"/>
  </mergeCells>
  <drawing r:id="rId1"/>
</worksheet>
</file>